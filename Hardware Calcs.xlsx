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quila\Local_Projects\ECSE\ECSE Design Competition 2\2026-ECSE-Design-Comp\"/>
    </mc:Choice>
  </mc:AlternateContent>
  <xr:revisionPtr revIDLastSave="0" documentId="13_ncr:1_{8B2B0CDF-B427-4919-8BE9-06537D67253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F8" i="1"/>
  <c r="C7" i="1"/>
  <c r="D13" i="1" l="1"/>
  <c r="C13" i="1"/>
  <c r="C8" i="1"/>
  <c r="D14" i="1" l="1"/>
  <c r="D15" i="1" s="1"/>
  <c r="C14" i="1"/>
  <c r="C1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tc={7EF8A2BF-B47A-48FE-B480-97562281027F}</author>
    <author>tc={A1C0B091-4036-423A-BE97-C160392F0BC0}</author>
    <author>tc={D85BDCB7-219F-45CE-8159-835D2C963029}</author>
    <author>tc={CD4C623C-33AC-458F-9A17-B6773F2A27BE}</author>
    <author>tc={F4275B84-209C-487D-A0D1-CA913C92EB4D}</author>
    <author>tc={0313C31D-5C1C-4D4B-A05D-9FB370E80AA5}</author>
  </authors>
  <commentList>
    <comment ref="C4" authorId="0" shapeId="0" xr:uid="{7EF8A2BF-B47A-48FE-B480-97562281027F}">
      <text>
        <t>[Threaded comment]
Your version of Excel allows you to read this threaded comment; however, any edits to it will get removed if the file is opened in a newer version of Excel. Learn more: https://go.microsoft.com/fwlink/?linkid=870924
Comment:
    W/sr at 100mA. This is maximum current allowed by emitter.</t>
      </text>
    </comment>
    <comment ref="F4" authorId="1" shapeId="0" xr:uid="{A1C0B091-4036-423A-BE97-C160392F0BC0}">
      <text>
        <t>[Threaded comment]
Your version of Excel allows you to read this threaded comment; however, any edits to it will get removed if the file is opened in a newer version of Excel. Learn more: https://go.microsoft.com/fwlink/?linkid=870924
Comment:
    Distances in m</t>
      </text>
    </comment>
    <comment ref="F6" authorId="2" shapeId="0" xr:uid="{D85BDCB7-219F-45CE-8159-835D2C963029}">
      <text>
        <t>[Threaded comment]
Your version of Excel allows you to read this threaded comment; however, any edits to it will get removed if the file is opened in a newer version of Excel. Learn more: https://go.microsoft.com/fwlink/?linkid=870924
Comment:
    A/W</t>
      </text>
    </comment>
    <comment ref="B7" authorId="3" shapeId="0" xr:uid="{CD4C623C-33AC-458F-9A17-B6773F2A27BE}">
      <text>
        <t>[Threaded comment]
Your version of Excel allows you to read this threaded comment; however, any edits to it will get removed if the file is opened in a newer version of Excel. Learn more: https://go.microsoft.com/fwlink/?linkid=870924
Comment:
    Relative emission brightness of 850nm light.</t>
      </text>
    </comment>
    <comment ref="E7" authorId="4" shapeId="0" xr:uid="{F4275B84-209C-487D-A0D1-CA913C92EB4D}">
      <text>
        <t>[Threaded comment]
Your version of Excel allows you to read this threaded comment; however, any edits to it will get removed if the file is opened in a newer version of Excel. Learn more: https://go.microsoft.com/fwlink/?linkid=870924
Comment:
    Relative sensitivity to 850nm light</t>
      </text>
    </comment>
    <comment ref="F8" authorId="5" shapeId="0" xr:uid="{0313C31D-5C1C-4D4B-A05D-9FB370E80AA5}">
      <text>
        <t>[Threaded comment]
Your version of Excel allows you to read this threaded comment; however, any edits to it will get removed if the file is opened in a newer version of Excel. Learn more: https://go.microsoft.com/fwlink/?linkid=870924
Comment:
    m^2</t>
      </text>
    </comment>
  </commentList>
</comments>
</file>

<file path=xl/sharedStrings.xml><?xml version="1.0" encoding="utf-8"?>
<sst xmlns="http://schemas.openxmlformats.org/spreadsheetml/2006/main" count="17" uniqueCount="17">
  <si>
    <t>Emitter</t>
  </si>
  <si>
    <t>Receiver</t>
  </si>
  <si>
    <t>Relative Sensitivity</t>
  </si>
  <si>
    <t>Relative Emission</t>
  </si>
  <si>
    <t>Min Sensor Distance</t>
  </si>
  <si>
    <t>Max Sensor Distance</t>
  </si>
  <si>
    <t>Radiant Intensity</t>
  </si>
  <si>
    <t>Detection Area</t>
  </si>
  <si>
    <t>Min</t>
  </si>
  <si>
    <t>Max</t>
  </si>
  <si>
    <t>Detection sr</t>
  </si>
  <si>
    <t>Responsivity</t>
  </si>
  <si>
    <t>Detection Current (A)</t>
  </si>
  <si>
    <t>Detection Intensity (W)</t>
  </si>
  <si>
    <t>Intensity at 850nm (W/sr)</t>
  </si>
  <si>
    <t>Electrical Parameters</t>
  </si>
  <si>
    <t>Emitter Frequency (Hz)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</si>
</sst>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9" fontId="0" fillId="0" borderId="0" xfId="1" applyFont="1"/>
    <xf numFmtId="0" fontId="2" fillId="0" borderId="0" xfId="0" applyFont="1" applyAlignment="1">
      <alignment horizontal="center"/>
    </xf>
    <xf numFmtId="11" fontId="0" fillId="0" borderId="0" xfId="0" applyNumberFormat="1"/>
    <xf numFmtId="3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x Sobr" id="{5DA4D9E2-D499-4186-A858-7BCB1F916EF6}" userId="5c9f04bd22508bf8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4" dT="2026-06-14T00:01:57.93" personId="{5DA4D9E2-D499-4186-A858-7BCB1F916EF6}" id="{7EF8A2BF-B47A-48FE-B480-97562281027F}">
    <text>W/sr at 100mA. This is maximum current allowed by emitter.</text>
  </threadedComment>
  <threadedComment ref="F4" dT="2026-06-13T23:59:56.83" personId="{5DA4D9E2-D499-4186-A858-7BCB1F916EF6}" id="{A1C0B091-4036-423A-BE97-C160392F0BC0}">
    <text>Distances in m</text>
  </threadedComment>
  <threadedComment ref="F6" dT="2026-06-13T23:58:25.20" personId="{5DA4D9E2-D499-4186-A858-7BCB1F916EF6}" id="{D85BDCB7-219F-45CE-8159-835D2C963029}">
    <text>A/W</text>
  </threadedComment>
  <threadedComment ref="B7" dT="2026-06-13T23:50:50.31" personId="{5DA4D9E2-D499-4186-A858-7BCB1F916EF6}" id="{CD4C623C-33AC-458F-9A17-B6773F2A27BE}">
    <text>Relative emission brightness of 850nm light.</text>
  </threadedComment>
  <threadedComment ref="E7" dT="2026-06-13T23:50:24.84" personId="{5DA4D9E2-D499-4186-A858-7BCB1F916EF6}" id="{F4275B84-209C-487D-A0D1-CA913C92EB4D}">
    <text>Relative sensitivity to 850nm light</text>
  </threadedComment>
  <threadedComment ref="F8" dT="2026-06-14T00:05:24.32" personId="{5DA4D9E2-D499-4186-A858-7BCB1F916EF6}" id="{0313C31D-5C1C-4D4B-A05D-9FB370E80AA5}">
    <text>m^2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15"/>
  <sheetViews>
    <sheetView tabSelected="1" workbookViewId="0">
      <selection activeCell="H10" sqref="H10"/>
    </sheetView>
  </sheetViews>
  <sheetFormatPr defaultRowHeight="14.5" x14ac:dyDescent="0.35"/>
  <cols>
    <col min="2" max="2" width="22.453125" bestFit="1" customWidth="1"/>
    <col min="3" max="3" width="11.81640625" bestFit="1" customWidth="1"/>
    <col min="4" max="4" width="9.81640625" bestFit="1" customWidth="1"/>
    <col min="5" max="5" width="18.26953125" bestFit="1" customWidth="1"/>
    <col min="6" max="6" width="11.81640625" bestFit="1" customWidth="1"/>
    <col min="8" max="8" width="20.7265625" bestFit="1" customWidth="1"/>
    <col min="9" max="9" width="11.81640625" bestFit="1" customWidth="1"/>
  </cols>
  <sheetData>
    <row r="2" spans="2:9" ht="21" x14ac:dyDescent="0.5">
      <c r="B2" s="2" t="s">
        <v>0</v>
      </c>
      <c r="C2" s="2"/>
      <c r="E2" s="2" t="s">
        <v>1</v>
      </c>
      <c r="F2" s="2"/>
      <c r="H2" s="2" t="s">
        <v>15</v>
      </c>
      <c r="I2" s="2"/>
    </row>
    <row r="4" spans="2:9" x14ac:dyDescent="0.35">
      <c r="B4" t="s">
        <v>6</v>
      </c>
      <c r="C4">
        <f>0.063</f>
        <v>6.3E-2</v>
      </c>
      <c r="E4" t="s">
        <v>4</v>
      </c>
      <c r="F4">
        <v>0.15</v>
      </c>
      <c r="H4" t="s">
        <v>16</v>
      </c>
      <c r="I4" s="4">
        <v>38000</v>
      </c>
    </row>
    <row r="5" spans="2:9" x14ac:dyDescent="0.35">
      <c r="E5" t="s">
        <v>5</v>
      </c>
      <c r="F5">
        <v>0.3</v>
      </c>
    </row>
    <row r="6" spans="2:9" x14ac:dyDescent="0.35">
      <c r="E6" t="s">
        <v>11</v>
      </c>
      <c r="F6">
        <v>0.6</v>
      </c>
    </row>
    <row r="7" spans="2:9" x14ac:dyDescent="0.35">
      <c r="B7" t="s">
        <v>3</v>
      </c>
      <c r="C7" s="1">
        <f>0.9</f>
        <v>0.9</v>
      </c>
      <c r="E7" t="s">
        <v>2</v>
      </c>
      <c r="F7" s="1">
        <v>0.93</v>
      </c>
    </row>
    <row r="8" spans="2:9" x14ac:dyDescent="0.35">
      <c r="B8" t="s">
        <v>14</v>
      </c>
      <c r="C8">
        <f>C4*C7</f>
        <v>5.67E-2</v>
      </c>
      <c r="E8" t="s">
        <v>7</v>
      </c>
      <c r="F8">
        <f>1*(10^-3)^2</f>
        <v>9.9999999999999995E-7</v>
      </c>
    </row>
    <row r="12" spans="2:9" x14ac:dyDescent="0.35">
      <c r="C12" t="s">
        <v>8</v>
      </c>
      <c r="D12" t="s">
        <v>9</v>
      </c>
    </row>
    <row r="13" spans="2:9" x14ac:dyDescent="0.35">
      <c r="B13" t="s">
        <v>10</v>
      </c>
      <c r="C13">
        <f>$F$8/$F$5^2</f>
        <v>1.1111111111111112E-5</v>
      </c>
      <c r="D13">
        <f>$F$8/$F$4^2</f>
        <v>4.4444444444444447E-5</v>
      </c>
    </row>
    <row r="14" spans="2:9" x14ac:dyDescent="0.35">
      <c r="B14" t="s">
        <v>13</v>
      </c>
      <c r="C14" s="3">
        <f>$C$8*C$13</f>
        <v>6.3E-7</v>
      </c>
      <c r="D14">
        <f>$C$8*D$13</f>
        <v>2.52E-6</v>
      </c>
    </row>
    <row r="15" spans="2:9" x14ac:dyDescent="0.35">
      <c r="B15" t="s">
        <v>12</v>
      </c>
      <c r="C15">
        <f>C14*$F$7*$F$6</f>
        <v>3.5154000000000004E-7</v>
      </c>
      <c r="D15">
        <f>D14*$F$7*$F$6</f>
        <v>1.4061600000000001E-6</v>
      </c>
    </row>
  </sheetData>
  <mergeCells count="3">
    <mergeCell ref="B2:C2"/>
    <mergeCell ref="E2:F2"/>
    <mergeCell ref="H2:I2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Sobr</dc:creator>
  <cp:lastModifiedBy>Max Sobr</cp:lastModifiedBy>
  <dcterms:created xsi:type="dcterms:W3CDTF">2015-06-05T18:17:20Z</dcterms:created>
  <dcterms:modified xsi:type="dcterms:W3CDTF">2026-06-14T02:47:52Z</dcterms:modified>
</cp:coreProperties>
</file>